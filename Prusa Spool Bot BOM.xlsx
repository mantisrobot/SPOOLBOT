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ashrsm/Workspace/SPOOLBOT/"/>
    </mc:Choice>
  </mc:AlternateContent>
  <xr:revisionPtr revIDLastSave="0" documentId="13_ncr:1_{860399CC-4724-D241-B215-786D93450BF4}" xr6:coauthVersionLast="47" xr6:coauthVersionMax="47" xr10:uidLastSave="{00000000-0000-0000-0000-000000000000}"/>
  <bookViews>
    <workbookView xWindow="36260" yWindow="3620" windowWidth="36660" windowHeight="21480" tabRatio="500" xr2:uid="{00000000-000D-0000-FFFF-FFFF00000000}"/>
  </bookViews>
  <sheets>
    <sheet name="BOM" sheetId="1" r:id="rId1"/>
    <sheet name="3D Printed Parts" sheetId="2" r:id="rId2"/>
    <sheet name="Loo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28" i="2" l="1"/>
  <c r="E44" i="1"/>
  <c r="E43" i="1"/>
  <c r="E38" i="1"/>
  <c r="E10" i="1"/>
  <c r="E9" i="1"/>
  <c r="E7" i="1"/>
  <c r="E6" i="1"/>
  <c r="E51" i="1" l="1"/>
</calcChain>
</file>

<file path=xl/sharedStrings.xml><?xml version="1.0" encoding="utf-8"?>
<sst xmlns="http://schemas.openxmlformats.org/spreadsheetml/2006/main" count="162" uniqueCount="129">
  <si>
    <t>Prusa Spool Bot BOM</t>
  </si>
  <si>
    <t>Part</t>
  </si>
  <si>
    <t>Description</t>
  </si>
  <si>
    <t>Qty</t>
  </si>
  <si>
    <t>Cost</t>
  </si>
  <si>
    <t>Sub</t>
  </si>
  <si>
    <t>UK Links</t>
  </si>
  <si>
    <t>U.S. Links</t>
  </si>
  <si>
    <t>Notes</t>
  </si>
  <si>
    <t xml:space="preserve">55x68x7mm Bearing 61711 </t>
  </si>
  <si>
    <t>61711 Bearing</t>
  </si>
  <si>
    <t xml:space="preserve">https://amzn.to/4qeRzQE </t>
  </si>
  <si>
    <t>(Shop around local for cheaper)</t>
  </si>
  <si>
    <t>10x3x4 Bearing</t>
  </si>
  <si>
    <t xml:space="preserve">https://amzn.to/4ajuCWC </t>
  </si>
  <si>
    <t>(Unknown quality!)</t>
  </si>
  <si>
    <t>Motor/Encoder</t>
  </si>
  <si>
    <t xml:space="preserve">https://www.pololu.com/product/4862 </t>
  </si>
  <si>
    <t>Hub Adapter</t>
  </si>
  <si>
    <t xml:space="preserve">https://www.pololu.com/product/1997 </t>
  </si>
  <si>
    <t>M3 Button Head Set</t>
  </si>
  <si>
    <t xml:space="preserve">https://amzn.to/4q6ULh3 </t>
  </si>
  <si>
    <t xml:space="preserve">https://amzn.to/4a8HcYu </t>
  </si>
  <si>
    <t>M3x6 Button Head Socket</t>
  </si>
  <si>
    <t>M3x12 Button Head</t>
  </si>
  <si>
    <t>M3x7x0.5 washer</t>
  </si>
  <si>
    <t>M3 Counter Sunk Set</t>
  </si>
  <si>
    <t xml:space="preserve">https://amzn.to/4ragjKA </t>
  </si>
  <si>
    <t xml:space="preserve">https://amzn.to/4qXbHI8 </t>
  </si>
  <si>
    <t xml:space="preserve">M3x6 CS Screw </t>
  </si>
  <si>
    <t xml:space="preserve">M3x20 CS Socket </t>
  </si>
  <si>
    <t>M3 Hex Nut</t>
  </si>
  <si>
    <t>M4 Cap Head Set</t>
  </si>
  <si>
    <t xml:space="preserve">https://amzn.to/4qMgcFp </t>
  </si>
  <si>
    <t xml:space="preserve">https://amzn.to/3O3PfhM </t>
  </si>
  <si>
    <t>M4x25 Cap Head</t>
  </si>
  <si>
    <t>M4x5 Black cap head</t>
  </si>
  <si>
    <t xml:space="preserve">https://amzn.to/45wr8ye </t>
  </si>
  <si>
    <t xml:space="preserve">https://amzn.to/4roa8Tb </t>
  </si>
  <si>
    <t>M4x8 CS + Nut Black</t>
  </si>
  <si>
    <t xml:space="preserve">https://amzn.to/45ueRdQ </t>
  </si>
  <si>
    <t xml:space="preserve">https://amzn.to/4qVIehy </t>
  </si>
  <si>
    <t>M4 Square Nut</t>
  </si>
  <si>
    <t>M4 Hex Nut</t>
  </si>
  <si>
    <t>No.2 x 6.4mm Screw</t>
  </si>
  <si>
    <t xml:space="preserve">https://amzn.to/4bmNia4 </t>
  </si>
  <si>
    <t xml:space="preserve">https://amzn.to/4taD7Md </t>
  </si>
  <si>
    <t>12x3x4 Magnets</t>
  </si>
  <si>
    <t xml:space="preserve">https://amzn.to/4sokrs0 </t>
  </si>
  <si>
    <t xml:space="preserve">https://amzn.to/4c5deai </t>
  </si>
  <si>
    <t>10x3x3 Magnets</t>
  </si>
  <si>
    <t xml:space="preserve">https://amzn.to/4qDw7Wc </t>
  </si>
  <si>
    <t xml:space="preserve">https://amzn.to/4qhv7q1 </t>
  </si>
  <si>
    <t>50mm Goolgy Eyes</t>
  </si>
  <si>
    <t xml:space="preserve">https://amzn.to/3YJqABu </t>
  </si>
  <si>
    <t xml:space="preserve">https://amzn.to/4aso4G6 </t>
  </si>
  <si>
    <t>M3 Heat Insert</t>
  </si>
  <si>
    <t>M4 Heat Insert</t>
  </si>
  <si>
    <t>DF Robot Romeo ESP32</t>
  </si>
  <si>
    <t>6A Toggle Switch (ON-ON)</t>
  </si>
  <si>
    <t>https://amzn.to/3YJVCch</t>
  </si>
  <si>
    <t xml:space="preserve">https://amzn.to/4r3gBDC </t>
  </si>
  <si>
    <t>18 AWG silicone wire</t>
  </si>
  <si>
    <t xml:space="preserve">https://amzn.to/4qwDm1Z </t>
  </si>
  <si>
    <t xml:space="preserve">https://amzn.to/4acHDRK </t>
  </si>
  <si>
    <t>XT60 Male Connector</t>
  </si>
  <si>
    <t xml:space="preserve">https://amzn.to/4bJrepZ </t>
  </si>
  <si>
    <t xml:space="preserve">https://amzn.to/4kcfxKM </t>
  </si>
  <si>
    <t>Jumper F-F 100mm</t>
  </si>
  <si>
    <t xml:space="preserve">https://amzn.to/49Qc7sr </t>
  </si>
  <si>
    <t xml:space="preserve">https://amzn.to/3OiPnKm </t>
  </si>
  <si>
    <t>Qwiic Connector Jumper</t>
  </si>
  <si>
    <t>Qwiic Jumper</t>
  </si>
  <si>
    <t xml:space="preserve">https://www.adafruit.com/product/4397 </t>
  </si>
  <si>
    <t>6V NiMh Battery Hump Back</t>
  </si>
  <si>
    <t>6V NiMh Battery</t>
  </si>
  <si>
    <t>(Local R/C Shop? 3000 TO 5000MaH)</t>
  </si>
  <si>
    <t>Adafruit BNO085</t>
  </si>
  <si>
    <t xml:space="preserve">https://amzn.to/4rjBVnJ </t>
  </si>
  <si>
    <t xml:space="preserve">https://www.adafruit.com/product/4754 </t>
  </si>
  <si>
    <t>Dupont 0.1” Connector Kit</t>
  </si>
  <si>
    <t xml:space="preserve">https://amzn.to/49XTeVK </t>
  </si>
  <si>
    <t>Prusament PLA/PETG</t>
  </si>
  <si>
    <t xml:space="preserve">https://amzn.to/4a9z8Xh </t>
  </si>
  <si>
    <t>Prusament PETG</t>
  </si>
  <si>
    <t xml:space="preserve">https://amzn.to/3NTPufy </t>
  </si>
  <si>
    <t>Item</t>
  </si>
  <si>
    <t>Name</t>
  </si>
  <si>
    <t>Material</t>
  </si>
  <si>
    <t>DHG M1.5 18T</t>
  </si>
  <si>
    <t>PLA</t>
  </si>
  <si>
    <t>Fake Side Filament Removable End</t>
  </si>
  <si>
    <t>Fake Side Filament V1.1</t>
  </si>
  <si>
    <t>Filament Hub V1.1</t>
  </si>
  <si>
    <t>Removable Side Shim</t>
  </si>
  <si>
    <t>Axle Body Spacer</t>
  </si>
  <si>
    <t>PETG</t>
  </si>
  <si>
    <t>Spool Bearing Holder MAG P2</t>
  </si>
  <si>
    <t>Magnetic Side (Left)</t>
  </si>
  <si>
    <t>Spool Bearing Holder MAG P3</t>
  </si>
  <si>
    <t>Spool Bearing Holder P1</t>
  </si>
  <si>
    <t>Spool Bearing Holder P1 Fixed</t>
  </si>
  <si>
    <t>Fixed Side (Right)</t>
  </si>
  <si>
    <t>Spool Bearing Holder P2</t>
  </si>
  <si>
    <t>Spool Bearing Holder P3</t>
  </si>
  <si>
    <t>Axle Lock V1</t>
  </si>
  <si>
    <t>Battery Mount</t>
  </si>
  <si>
    <t>Battery Stay</t>
  </si>
  <si>
    <t>Central Hub Clamp V1.1</t>
  </si>
  <si>
    <t>Central Hub</t>
  </si>
  <si>
    <t>IMU Shelf</t>
  </si>
  <si>
    <t>Motor Mount</t>
  </si>
  <si>
    <t>Romeo Mini Mount V1.1</t>
  </si>
  <si>
    <t>RX Shelf</t>
  </si>
  <si>
    <t>Spool Gear Hub Fixed Side UNITE</t>
  </si>
  <si>
    <t>(Right side)</t>
  </si>
  <si>
    <t>Spool Gear Hub UNITE 80T</t>
  </si>
  <si>
    <t>(Left Side)</t>
  </si>
  <si>
    <t>Googly Eye Adapter</t>
  </si>
  <si>
    <t>Total Parts</t>
  </si>
  <si>
    <t>LOOM</t>
  </si>
  <si>
    <t>Main black and red wire between connectors 300mm long</t>
  </si>
  <si>
    <t>Short red wire from XT60 to switch middle pin 110mm</t>
  </si>
  <si>
    <t>Red power wire to terminal block 250mm cut to length</t>
  </si>
  <si>
    <t>Black charge wire from negative 200mm cut to length</t>
  </si>
  <si>
    <t>Black power wire from negative 200mm cut to length</t>
  </si>
  <si>
    <t>Red charge wire from switch 150mm cut to length</t>
  </si>
  <si>
    <t>61711/6711 55x68x7mm bearing</t>
  </si>
  <si>
    <t>623ZZ 3x10x4mm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</si>
</sst>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\-[$£-809]#,##0.00"/>
  </numFmts>
  <fonts count="5" x14ac:knownFonts="1">
    <font>
      <sz val="10"/>
      <name val="Arial"/>
      <family val="2"/>
      <charset val="1"/>
    </font>
    <font>
      <sz val="15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3</xdr:col>
      <xdr:colOff>637560</xdr:colOff>
      <xdr:row>41</xdr:row>
      <xdr:rowOff>126000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876920"/>
          <a:ext cx="5390640" cy="191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5</xdr:col>
      <xdr:colOff>464040</xdr:colOff>
      <xdr:row>53</xdr:row>
      <xdr:rowOff>98280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6990120"/>
          <a:ext cx="8372160" cy="172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5</xdr:col>
      <xdr:colOff>444960</xdr:colOff>
      <xdr:row>73</xdr:row>
      <xdr:rowOff>16920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8940960"/>
          <a:ext cx="8353080" cy="2943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zn.to/4qMgcFp" TargetMode="External"/><Relationship Id="rId18" Type="http://schemas.openxmlformats.org/officeDocument/2006/relationships/hyperlink" Target="https://amzn.to/4qVIehy" TargetMode="External"/><Relationship Id="rId26" Type="http://schemas.openxmlformats.org/officeDocument/2006/relationships/hyperlink" Target="https://amzn.to/4aso4G6" TargetMode="External"/><Relationship Id="rId39" Type="http://schemas.openxmlformats.org/officeDocument/2006/relationships/hyperlink" Target="https://amzn.to/4rjBVnJ" TargetMode="External"/><Relationship Id="rId21" Type="http://schemas.openxmlformats.org/officeDocument/2006/relationships/hyperlink" Target="https://amzn.to/4sokrs0" TargetMode="External"/><Relationship Id="rId34" Type="http://schemas.openxmlformats.org/officeDocument/2006/relationships/hyperlink" Target="https://amzn.to/49Qc7sr" TargetMode="External"/><Relationship Id="rId42" Type="http://schemas.openxmlformats.org/officeDocument/2006/relationships/hyperlink" Target="https://amzn.to/49XTeVK" TargetMode="External"/><Relationship Id="rId7" Type="http://schemas.openxmlformats.org/officeDocument/2006/relationships/hyperlink" Target="https://www.pololu.com/product/1997" TargetMode="External"/><Relationship Id="rId2" Type="http://schemas.openxmlformats.org/officeDocument/2006/relationships/hyperlink" Target="https://amzn.to/4qeRzQE" TargetMode="External"/><Relationship Id="rId16" Type="http://schemas.openxmlformats.org/officeDocument/2006/relationships/hyperlink" Target="https://amzn.to/4roa8Tb" TargetMode="External"/><Relationship Id="rId20" Type="http://schemas.openxmlformats.org/officeDocument/2006/relationships/hyperlink" Target="https://amzn.to/4taD7Md" TargetMode="External"/><Relationship Id="rId29" Type="http://schemas.openxmlformats.org/officeDocument/2006/relationships/hyperlink" Target="https://amzn.to/4r3gBDC" TargetMode="External"/><Relationship Id="rId41" Type="http://schemas.openxmlformats.org/officeDocument/2006/relationships/hyperlink" Target="https://amzn.to/4rjBVnJ" TargetMode="External"/><Relationship Id="rId1" Type="http://schemas.openxmlformats.org/officeDocument/2006/relationships/hyperlink" Target="https://simplybearings.co.uk/shop/p188629/61711-Budget-Open-Type-Thin-Section-Deep-Groove-Ball-Bearing-55x68x7mm/product_info.html" TargetMode="External"/><Relationship Id="rId6" Type="http://schemas.openxmlformats.org/officeDocument/2006/relationships/hyperlink" Target="https://www.pololu.com/product/4862" TargetMode="External"/><Relationship Id="rId11" Type="http://schemas.openxmlformats.org/officeDocument/2006/relationships/hyperlink" Target="https://amzn.to/4ragjKA" TargetMode="External"/><Relationship Id="rId24" Type="http://schemas.openxmlformats.org/officeDocument/2006/relationships/hyperlink" Target="https://amzn.to/4qhv7q1" TargetMode="External"/><Relationship Id="rId32" Type="http://schemas.openxmlformats.org/officeDocument/2006/relationships/hyperlink" Target="https://amzn.to/4bJrepZ" TargetMode="External"/><Relationship Id="rId37" Type="http://schemas.openxmlformats.org/officeDocument/2006/relationships/hyperlink" Target="https://www.adafruit.com/product/4397" TargetMode="External"/><Relationship Id="rId40" Type="http://schemas.openxmlformats.org/officeDocument/2006/relationships/hyperlink" Target="https://www.adafruit.com/product/4754" TargetMode="External"/><Relationship Id="rId5" Type="http://schemas.openxmlformats.org/officeDocument/2006/relationships/hyperlink" Target="https://www.pololu.com/product/4862" TargetMode="External"/><Relationship Id="rId15" Type="http://schemas.openxmlformats.org/officeDocument/2006/relationships/hyperlink" Target="https://amzn.to/45wr8ye" TargetMode="External"/><Relationship Id="rId23" Type="http://schemas.openxmlformats.org/officeDocument/2006/relationships/hyperlink" Target="https://amzn.to/4qDw7Wc" TargetMode="External"/><Relationship Id="rId28" Type="http://schemas.openxmlformats.org/officeDocument/2006/relationships/hyperlink" Target="https://amzn.to/3YJVCch" TargetMode="External"/><Relationship Id="rId36" Type="http://schemas.openxmlformats.org/officeDocument/2006/relationships/hyperlink" Target="https://thepihut.com/products/stemma-qt-qwiic-jst-sh-4-pin-cable-with-premium-female-sockets-150mm-long" TargetMode="External"/><Relationship Id="rId10" Type="http://schemas.openxmlformats.org/officeDocument/2006/relationships/hyperlink" Target="https://amzn.to/4a8HcYu" TargetMode="External"/><Relationship Id="rId19" Type="http://schemas.openxmlformats.org/officeDocument/2006/relationships/hyperlink" Target="https://amzn.to/4bmNia4" TargetMode="External"/><Relationship Id="rId31" Type="http://schemas.openxmlformats.org/officeDocument/2006/relationships/hyperlink" Target="https://amzn.to/4acHDRK" TargetMode="External"/><Relationship Id="rId44" Type="http://schemas.openxmlformats.org/officeDocument/2006/relationships/hyperlink" Target="https://amzn.to/3NTPufy" TargetMode="External"/><Relationship Id="rId4" Type="http://schemas.openxmlformats.org/officeDocument/2006/relationships/hyperlink" Target="https://amzn.to/4ajuCWC" TargetMode="External"/><Relationship Id="rId9" Type="http://schemas.openxmlformats.org/officeDocument/2006/relationships/hyperlink" Target="https://amzn.to/4q6ULh3" TargetMode="External"/><Relationship Id="rId14" Type="http://schemas.openxmlformats.org/officeDocument/2006/relationships/hyperlink" Target="https://amzn.to/3O3PfhM" TargetMode="External"/><Relationship Id="rId22" Type="http://schemas.openxmlformats.org/officeDocument/2006/relationships/hyperlink" Target="https://amzn.to/4c5deai" TargetMode="External"/><Relationship Id="rId27" Type="http://schemas.openxmlformats.org/officeDocument/2006/relationships/hyperlink" Target="https://uk.farnell.com/dfrobot/dfr1063/romeo-mini-control-board-esp32/dp/445737" TargetMode="External"/><Relationship Id="rId30" Type="http://schemas.openxmlformats.org/officeDocument/2006/relationships/hyperlink" Target="https://amzn.to/4qwDm1Z" TargetMode="External"/><Relationship Id="rId35" Type="http://schemas.openxmlformats.org/officeDocument/2006/relationships/hyperlink" Target="https://amzn.to/3OiPnKm" TargetMode="External"/><Relationship Id="rId43" Type="http://schemas.openxmlformats.org/officeDocument/2006/relationships/hyperlink" Target="https://amzn.to/4a9z8Xh" TargetMode="External"/><Relationship Id="rId8" Type="http://schemas.openxmlformats.org/officeDocument/2006/relationships/hyperlink" Target="https://www.pololu.com/product/1997" TargetMode="External"/><Relationship Id="rId3" Type="http://schemas.openxmlformats.org/officeDocument/2006/relationships/hyperlink" Target="https://simplybearings.co.uk/shop/p170604/623ZZ-Budget-Metal-Shielded-Deep-Groove-Ball-Bearing-3x10x4mm/product_info.html" TargetMode="External"/><Relationship Id="rId12" Type="http://schemas.openxmlformats.org/officeDocument/2006/relationships/hyperlink" Target="https://amzn.to/4qXbHI8" TargetMode="External"/><Relationship Id="rId17" Type="http://schemas.openxmlformats.org/officeDocument/2006/relationships/hyperlink" Target="https://amzn.to/45ueRdQ" TargetMode="External"/><Relationship Id="rId25" Type="http://schemas.openxmlformats.org/officeDocument/2006/relationships/hyperlink" Target="https://amzn.to/3YJqABu" TargetMode="External"/><Relationship Id="rId33" Type="http://schemas.openxmlformats.org/officeDocument/2006/relationships/hyperlink" Target="https://amzn.to/4kcfxKM" TargetMode="External"/><Relationship Id="rId38" Type="http://schemas.openxmlformats.org/officeDocument/2006/relationships/hyperlink" Target="https://www.componentshop.co.uk/6v-3300mah-sc-nimh-hump-rc-battery-pack-vap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>
      <selection activeCell="B36" sqref="B36"/>
    </sheetView>
  </sheetViews>
  <sheetFormatPr baseColWidth="10" defaultColWidth="11.5" defaultRowHeight="13" x14ac:dyDescent="0.15"/>
  <cols>
    <col min="1" max="1" width="11.5" style="1"/>
    <col min="2" max="2" width="27.83203125" customWidth="1"/>
    <col min="4" max="5" width="11.5" style="2"/>
    <col min="6" max="6" width="35" customWidth="1"/>
    <col min="7" max="7" width="33" customWidth="1"/>
    <col min="8" max="8" width="32.33203125" customWidth="1"/>
  </cols>
  <sheetData>
    <row r="1" spans="1:10" ht="19" x14ac:dyDescent="0.2">
      <c r="A1" s="3" t="s">
        <v>0</v>
      </c>
    </row>
    <row r="4" spans="1:10" x14ac:dyDescent="0.15">
      <c r="A4" s="1" t="s">
        <v>1</v>
      </c>
      <c r="B4" t="s">
        <v>2</v>
      </c>
      <c r="C4" t="s">
        <v>3</v>
      </c>
      <c r="D4" s="2" t="s">
        <v>4</v>
      </c>
      <c r="E4" s="2" t="s">
        <v>5</v>
      </c>
      <c r="F4" t="s">
        <v>6</v>
      </c>
      <c r="G4" t="s">
        <v>7</v>
      </c>
      <c r="H4" t="s">
        <v>8</v>
      </c>
    </row>
    <row r="6" spans="1:10" ht="14" x14ac:dyDescent="0.15">
      <c r="A6" s="1">
        <v>1</v>
      </c>
      <c r="B6" s="4" t="s">
        <v>9</v>
      </c>
      <c r="C6">
        <v>4</v>
      </c>
      <c r="D6" s="2">
        <v>6.73</v>
      </c>
      <c r="E6" s="2">
        <f>C6*D6</f>
        <v>26.92</v>
      </c>
      <c r="F6" s="5" t="s">
        <v>10</v>
      </c>
      <c r="G6" s="5" t="s">
        <v>11</v>
      </c>
      <c r="H6" t="s">
        <v>12</v>
      </c>
    </row>
    <row r="7" spans="1:10" x14ac:dyDescent="0.15">
      <c r="A7" s="1">
        <v>2</v>
      </c>
      <c r="B7" t="s">
        <v>13</v>
      </c>
      <c r="C7">
        <v>6</v>
      </c>
      <c r="D7" s="2">
        <v>2.23</v>
      </c>
      <c r="E7" s="2">
        <f>C7*D7</f>
        <v>13.379999999999999</v>
      </c>
      <c r="F7" s="5" t="s">
        <v>13</v>
      </c>
      <c r="G7" s="5" t="s">
        <v>14</v>
      </c>
      <c r="H7" t="s">
        <v>15</v>
      </c>
    </row>
    <row r="9" spans="1:10" x14ac:dyDescent="0.15">
      <c r="A9" s="1">
        <v>3</v>
      </c>
      <c r="B9" t="s">
        <v>16</v>
      </c>
      <c r="C9">
        <v>2</v>
      </c>
      <c r="D9" s="2">
        <v>61.95</v>
      </c>
      <c r="E9" s="2">
        <f>C9*D9</f>
        <v>123.9</v>
      </c>
      <c r="F9" s="5" t="s">
        <v>17</v>
      </c>
      <c r="G9" s="5" t="s">
        <v>17</v>
      </c>
    </row>
    <row r="10" spans="1:10" x14ac:dyDescent="0.15">
      <c r="A10" s="1">
        <v>4</v>
      </c>
      <c r="B10" t="s">
        <v>18</v>
      </c>
      <c r="C10">
        <v>1</v>
      </c>
      <c r="D10" s="2">
        <v>10.95</v>
      </c>
      <c r="E10" s="2">
        <f>C10*D10</f>
        <v>10.95</v>
      </c>
      <c r="F10" s="5" t="s">
        <v>19</v>
      </c>
      <c r="G10" s="5" t="s">
        <v>19</v>
      </c>
    </row>
    <row r="12" spans="1:10" x14ac:dyDescent="0.15">
      <c r="B12" t="s">
        <v>20</v>
      </c>
      <c r="C12">
        <v>1</v>
      </c>
      <c r="D12" s="2">
        <v>5.99</v>
      </c>
      <c r="E12" s="2">
        <v>5.99</v>
      </c>
      <c r="F12" s="5" t="s">
        <v>21</v>
      </c>
      <c r="G12" s="5" t="s">
        <v>22</v>
      </c>
    </row>
    <row r="13" spans="1:10" x14ac:dyDescent="0.15">
      <c r="A13" s="1">
        <v>5</v>
      </c>
      <c r="B13" t="s">
        <v>23</v>
      </c>
      <c r="C13">
        <v>13</v>
      </c>
      <c r="G13" s="6"/>
    </row>
    <row r="14" spans="1:10" x14ac:dyDescent="0.15">
      <c r="A14" s="1">
        <v>6</v>
      </c>
      <c r="B14" t="s">
        <v>24</v>
      </c>
      <c r="C14">
        <v>10</v>
      </c>
      <c r="G14" s="6"/>
    </row>
    <row r="15" spans="1:10" x14ac:dyDescent="0.15">
      <c r="A15" s="1">
        <v>7</v>
      </c>
      <c r="B15" t="s">
        <v>25</v>
      </c>
      <c r="C15">
        <v>6</v>
      </c>
      <c r="G15" s="6"/>
    </row>
    <row r="16" spans="1:10" x14ac:dyDescent="0.15">
      <c r="B16" t="s">
        <v>26</v>
      </c>
      <c r="C16">
        <v>1</v>
      </c>
      <c r="D16" s="2">
        <v>5.58</v>
      </c>
      <c r="E16" s="2">
        <v>5.58</v>
      </c>
      <c r="F16" s="5" t="s">
        <v>27</v>
      </c>
      <c r="G16" s="5" t="s">
        <v>28</v>
      </c>
      <c r="I16" s="2"/>
      <c r="J16" s="2"/>
    </row>
    <row r="17" spans="1:10" x14ac:dyDescent="0.15">
      <c r="A17" s="1">
        <v>8</v>
      </c>
      <c r="B17" t="s">
        <v>29</v>
      </c>
      <c r="C17">
        <v>12</v>
      </c>
      <c r="I17" s="2"/>
      <c r="J17" s="2"/>
    </row>
    <row r="18" spans="1:10" x14ac:dyDescent="0.15">
      <c r="A18" s="1">
        <v>9</v>
      </c>
      <c r="B18" t="s">
        <v>30</v>
      </c>
      <c r="C18">
        <v>12</v>
      </c>
      <c r="G18" s="6"/>
    </row>
    <row r="19" spans="1:10" x14ac:dyDescent="0.15">
      <c r="A19" s="1">
        <v>10</v>
      </c>
      <c r="B19" t="s">
        <v>31</v>
      </c>
      <c r="C19">
        <v>6</v>
      </c>
      <c r="G19" s="6"/>
    </row>
    <row r="20" spans="1:10" x14ac:dyDescent="0.15">
      <c r="G20" s="6"/>
    </row>
    <row r="21" spans="1:10" x14ac:dyDescent="0.15">
      <c r="B21" t="s">
        <v>32</v>
      </c>
      <c r="C21">
        <v>1</v>
      </c>
      <c r="D21" s="2">
        <v>5</v>
      </c>
      <c r="E21" s="2">
        <v>5</v>
      </c>
      <c r="F21" s="5" t="s">
        <v>33</v>
      </c>
      <c r="G21" s="5" t="s">
        <v>34</v>
      </c>
    </row>
    <row r="22" spans="1:10" x14ac:dyDescent="0.15">
      <c r="A22" s="1">
        <v>11</v>
      </c>
      <c r="B22" t="s">
        <v>35</v>
      </c>
      <c r="C22">
        <v>9</v>
      </c>
      <c r="G22" s="6"/>
    </row>
    <row r="23" spans="1:10" x14ac:dyDescent="0.15">
      <c r="A23" s="1">
        <v>12</v>
      </c>
      <c r="B23" t="s">
        <v>36</v>
      </c>
      <c r="C23">
        <v>8</v>
      </c>
      <c r="D23" s="2">
        <v>3.79</v>
      </c>
      <c r="E23" s="2">
        <v>3.79</v>
      </c>
      <c r="F23" s="5" t="s">
        <v>37</v>
      </c>
      <c r="G23" s="5" t="s">
        <v>38</v>
      </c>
    </row>
    <row r="24" spans="1:10" x14ac:dyDescent="0.15">
      <c r="A24" s="1">
        <v>13</v>
      </c>
      <c r="B24" t="s">
        <v>39</v>
      </c>
      <c r="C24">
        <v>4</v>
      </c>
      <c r="D24" s="2">
        <v>6.58</v>
      </c>
      <c r="E24" s="2">
        <v>6.58</v>
      </c>
      <c r="F24" s="5" t="s">
        <v>40</v>
      </c>
      <c r="G24" s="5" t="s">
        <v>41</v>
      </c>
    </row>
    <row r="25" spans="1:10" x14ac:dyDescent="0.15">
      <c r="A25" s="1">
        <v>14</v>
      </c>
      <c r="B25" t="s">
        <v>42</v>
      </c>
      <c r="C25">
        <v>4</v>
      </c>
      <c r="G25" s="6"/>
    </row>
    <row r="26" spans="1:10" x14ac:dyDescent="0.15">
      <c r="A26" s="1">
        <v>15</v>
      </c>
      <c r="B26" t="s">
        <v>43</v>
      </c>
      <c r="C26">
        <v>8</v>
      </c>
      <c r="G26" s="6"/>
    </row>
    <row r="27" spans="1:10" x14ac:dyDescent="0.15">
      <c r="G27" s="6"/>
    </row>
    <row r="28" spans="1:10" x14ac:dyDescent="0.15">
      <c r="A28" s="1">
        <v>16</v>
      </c>
      <c r="B28" t="s">
        <v>44</v>
      </c>
      <c r="C28">
        <v>4</v>
      </c>
      <c r="D28" s="2">
        <v>1.39</v>
      </c>
      <c r="E28" s="2">
        <v>1.39</v>
      </c>
      <c r="F28" s="5" t="s">
        <v>45</v>
      </c>
      <c r="G28" s="5" t="s">
        <v>46</v>
      </c>
    </row>
    <row r="29" spans="1:10" x14ac:dyDescent="0.15">
      <c r="A29" s="1">
        <v>17</v>
      </c>
      <c r="B29" t="s">
        <v>47</v>
      </c>
      <c r="C29">
        <v>4</v>
      </c>
      <c r="D29" s="2">
        <v>9.98</v>
      </c>
      <c r="E29" s="2">
        <v>9.98</v>
      </c>
      <c r="F29" s="5" t="s">
        <v>48</v>
      </c>
      <c r="G29" s="5" t="s">
        <v>49</v>
      </c>
    </row>
    <row r="30" spans="1:10" x14ac:dyDescent="0.15">
      <c r="A30" s="1">
        <v>18</v>
      </c>
      <c r="B30" t="s">
        <v>50</v>
      </c>
      <c r="C30">
        <v>4</v>
      </c>
      <c r="D30" s="2">
        <v>9.99</v>
      </c>
      <c r="E30" s="2">
        <v>9.99</v>
      </c>
      <c r="F30" s="5" t="s">
        <v>51</v>
      </c>
      <c r="G30" s="5" t="s">
        <v>52</v>
      </c>
    </row>
    <row r="31" spans="1:10" x14ac:dyDescent="0.15">
      <c r="A31" s="1">
        <v>19</v>
      </c>
      <c r="B31" t="s">
        <v>53</v>
      </c>
      <c r="C31">
        <v>1</v>
      </c>
      <c r="D31" s="2">
        <v>4.1900000000000004</v>
      </c>
      <c r="E31" s="2">
        <v>4.1900000000000004</v>
      </c>
      <c r="F31" s="5" t="s">
        <v>54</v>
      </c>
      <c r="G31" s="5" t="s">
        <v>55</v>
      </c>
    </row>
    <row r="32" spans="1:10" x14ac:dyDescent="0.15">
      <c r="A32" s="1">
        <v>20</v>
      </c>
      <c r="B32" t="s">
        <v>56</v>
      </c>
      <c r="C32">
        <v>29</v>
      </c>
    </row>
    <row r="33" spans="1:8" x14ac:dyDescent="0.15">
      <c r="A33" s="1">
        <v>21</v>
      </c>
      <c r="B33" t="s">
        <v>57</v>
      </c>
      <c r="C33">
        <v>5</v>
      </c>
    </row>
    <row r="35" spans="1:8" x14ac:dyDescent="0.15">
      <c r="A35" s="1">
        <v>22</v>
      </c>
      <c r="B35" t="s">
        <v>127</v>
      </c>
      <c r="C35">
        <v>4</v>
      </c>
      <c r="D35" s="2">
        <v>9.5</v>
      </c>
      <c r="E35" s="2">
        <v>9.5</v>
      </c>
    </row>
    <row r="36" spans="1:8" x14ac:dyDescent="0.15">
      <c r="A36" s="1">
        <v>23</v>
      </c>
      <c r="B36" t="s">
        <v>128</v>
      </c>
      <c r="C36">
        <v>6</v>
      </c>
      <c r="D36" s="2">
        <v>9</v>
      </c>
      <c r="E36" s="2">
        <v>9</v>
      </c>
    </row>
    <row r="37" spans="1:8" x14ac:dyDescent="0.15">
      <c r="D37"/>
      <c r="E37"/>
    </row>
    <row r="38" spans="1:8" x14ac:dyDescent="0.15">
      <c r="A38" s="1">
        <v>24</v>
      </c>
      <c r="B38" t="s">
        <v>58</v>
      </c>
      <c r="C38">
        <v>1</v>
      </c>
      <c r="D38" s="2">
        <v>17</v>
      </c>
      <c r="E38" s="2">
        <f>C38*D38</f>
        <v>17</v>
      </c>
      <c r="F38" s="5" t="s">
        <v>58</v>
      </c>
    </row>
    <row r="39" spans="1:8" x14ac:dyDescent="0.15">
      <c r="A39" s="1">
        <v>25</v>
      </c>
      <c r="B39" t="s">
        <v>59</v>
      </c>
      <c r="C39">
        <v>1</v>
      </c>
      <c r="D39" s="2">
        <v>6.99</v>
      </c>
      <c r="E39" s="2">
        <v>6.99</v>
      </c>
      <c r="F39" s="5" t="s">
        <v>60</v>
      </c>
      <c r="G39" s="5" t="s">
        <v>61</v>
      </c>
    </row>
    <row r="40" spans="1:8" x14ac:dyDescent="0.15">
      <c r="A40" s="1">
        <v>26</v>
      </c>
      <c r="B40" t="s">
        <v>62</v>
      </c>
      <c r="C40">
        <v>1</v>
      </c>
      <c r="D40" s="2">
        <v>5.99</v>
      </c>
      <c r="E40" s="2">
        <v>5.99</v>
      </c>
      <c r="F40" s="5" t="s">
        <v>63</v>
      </c>
      <c r="G40" s="5" t="s">
        <v>64</v>
      </c>
    </row>
    <row r="41" spans="1:8" x14ac:dyDescent="0.15">
      <c r="A41" s="1">
        <v>27</v>
      </c>
      <c r="B41" t="s">
        <v>65</v>
      </c>
      <c r="C41">
        <v>2</v>
      </c>
      <c r="D41" s="2">
        <v>5.49</v>
      </c>
      <c r="E41" s="2">
        <v>5.49</v>
      </c>
      <c r="F41" s="5" t="s">
        <v>66</v>
      </c>
      <c r="G41" s="5" t="s">
        <v>67</v>
      </c>
    </row>
    <row r="42" spans="1:8" x14ac:dyDescent="0.15">
      <c r="A42" s="1">
        <v>28</v>
      </c>
      <c r="B42" t="s">
        <v>68</v>
      </c>
      <c r="C42">
        <v>10</v>
      </c>
      <c r="D42" s="2">
        <v>6.99</v>
      </c>
      <c r="E42" s="2">
        <v>6.99</v>
      </c>
      <c r="F42" s="5" t="s">
        <v>69</v>
      </c>
      <c r="G42" s="5" t="s">
        <v>70</v>
      </c>
    </row>
    <row r="43" spans="1:8" x14ac:dyDescent="0.15">
      <c r="A43" s="1">
        <v>29</v>
      </c>
      <c r="B43" t="s">
        <v>71</v>
      </c>
      <c r="C43">
        <v>1</v>
      </c>
      <c r="D43" s="2">
        <v>1</v>
      </c>
      <c r="E43" s="2">
        <f>C43*D43</f>
        <v>1</v>
      </c>
      <c r="F43" s="5" t="s">
        <v>72</v>
      </c>
      <c r="G43" s="5" t="s">
        <v>73</v>
      </c>
    </row>
    <row r="44" spans="1:8" x14ac:dyDescent="0.15">
      <c r="A44" s="1">
        <v>30</v>
      </c>
      <c r="B44" t="s">
        <v>74</v>
      </c>
      <c r="C44">
        <v>2</v>
      </c>
      <c r="D44" s="2">
        <v>14.35</v>
      </c>
      <c r="E44" s="2">
        <f>C44*D44</f>
        <v>28.7</v>
      </c>
      <c r="F44" s="5" t="s">
        <v>75</v>
      </c>
      <c r="H44" t="s">
        <v>76</v>
      </c>
    </row>
    <row r="45" spans="1:8" x14ac:dyDescent="0.15">
      <c r="A45" s="1">
        <v>31</v>
      </c>
      <c r="B45" t="s">
        <v>77</v>
      </c>
      <c r="C45">
        <v>1</v>
      </c>
      <c r="E45" s="2">
        <v>27</v>
      </c>
      <c r="F45" s="5" t="s">
        <v>78</v>
      </c>
      <c r="G45" s="5" t="s">
        <v>79</v>
      </c>
    </row>
    <row r="46" spans="1:8" x14ac:dyDescent="0.15">
      <c r="A46" s="1">
        <v>32</v>
      </c>
      <c r="B46" t="s">
        <v>80</v>
      </c>
      <c r="C46">
        <v>1</v>
      </c>
      <c r="E46" s="2">
        <v>7.89</v>
      </c>
      <c r="F46" s="5" t="s">
        <v>78</v>
      </c>
      <c r="G46" s="5" t="s">
        <v>81</v>
      </c>
    </row>
    <row r="48" spans="1:8" x14ac:dyDescent="0.15">
      <c r="A48" s="1">
        <v>33</v>
      </c>
      <c r="B48" t="s">
        <v>82</v>
      </c>
      <c r="C48">
        <v>1</v>
      </c>
      <c r="D48">
        <v>23.99</v>
      </c>
      <c r="E48">
        <v>23.99</v>
      </c>
      <c r="G48" s="5" t="s">
        <v>83</v>
      </c>
    </row>
    <row r="49" spans="1:7" x14ac:dyDescent="0.15">
      <c r="A49" s="1">
        <v>34</v>
      </c>
      <c r="B49" t="s">
        <v>84</v>
      </c>
      <c r="C49">
        <v>1</v>
      </c>
      <c r="D49">
        <v>23.99</v>
      </c>
      <c r="E49">
        <v>23.99</v>
      </c>
      <c r="G49" s="5" t="s">
        <v>85</v>
      </c>
    </row>
    <row r="51" spans="1:7" x14ac:dyDescent="0.15">
      <c r="E51" s="7">
        <f>SUM(E6:E50)</f>
        <v>401.17</v>
      </c>
    </row>
  </sheetData>
  <hyperlinks>
    <hyperlink ref="F6" r:id="rId1" xr:uid="{00000000-0004-0000-0000-000000000000}"/>
    <hyperlink ref="G6" r:id="rId2" xr:uid="{00000000-0004-0000-0000-000001000000}"/>
    <hyperlink ref="F7" r:id="rId3" xr:uid="{00000000-0004-0000-0000-000002000000}"/>
    <hyperlink ref="G7" r:id="rId4" xr:uid="{00000000-0004-0000-0000-000003000000}"/>
    <hyperlink ref="F9" r:id="rId5" xr:uid="{00000000-0004-0000-0000-000004000000}"/>
    <hyperlink ref="G9" r:id="rId6" xr:uid="{00000000-0004-0000-0000-000005000000}"/>
    <hyperlink ref="F10" r:id="rId7" xr:uid="{00000000-0004-0000-0000-000006000000}"/>
    <hyperlink ref="G10" r:id="rId8" xr:uid="{00000000-0004-0000-0000-000007000000}"/>
    <hyperlink ref="F12" r:id="rId9" xr:uid="{00000000-0004-0000-0000-000008000000}"/>
    <hyperlink ref="G12" r:id="rId10" xr:uid="{00000000-0004-0000-0000-000009000000}"/>
    <hyperlink ref="F16" r:id="rId11" xr:uid="{00000000-0004-0000-0000-00000A000000}"/>
    <hyperlink ref="G16" r:id="rId12" xr:uid="{00000000-0004-0000-0000-00000B000000}"/>
    <hyperlink ref="F21" r:id="rId13" xr:uid="{00000000-0004-0000-0000-00000C000000}"/>
    <hyperlink ref="G21" r:id="rId14" xr:uid="{00000000-0004-0000-0000-00000D000000}"/>
    <hyperlink ref="F23" r:id="rId15" xr:uid="{00000000-0004-0000-0000-00000E000000}"/>
    <hyperlink ref="G23" r:id="rId16" xr:uid="{00000000-0004-0000-0000-00000F000000}"/>
    <hyperlink ref="F24" r:id="rId17" xr:uid="{00000000-0004-0000-0000-000010000000}"/>
    <hyperlink ref="G24" r:id="rId18" xr:uid="{00000000-0004-0000-0000-000011000000}"/>
    <hyperlink ref="F28" r:id="rId19" xr:uid="{00000000-0004-0000-0000-000012000000}"/>
    <hyperlink ref="G28" r:id="rId20" xr:uid="{00000000-0004-0000-0000-000013000000}"/>
    <hyperlink ref="F29" r:id="rId21" xr:uid="{00000000-0004-0000-0000-000014000000}"/>
    <hyperlink ref="G29" r:id="rId22" xr:uid="{00000000-0004-0000-0000-000015000000}"/>
    <hyperlink ref="F30" r:id="rId23" xr:uid="{00000000-0004-0000-0000-000016000000}"/>
    <hyperlink ref="G30" r:id="rId24" xr:uid="{00000000-0004-0000-0000-000017000000}"/>
    <hyperlink ref="F31" r:id="rId25" xr:uid="{00000000-0004-0000-0000-000018000000}"/>
    <hyperlink ref="G31" r:id="rId26" xr:uid="{00000000-0004-0000-0000-000019000000}"/>
    <hyperlink ref="F38" r:id="rId27" xr:uid="{00000000-0004-0000-0000-00001A000000}"/>
    <hyperlink ref="F39" r:id="rId28" xr:uid="{00000000-0004-0000-0000-00001B000000}"/>
    <hyperlink ref="G39" r:id="rId29" xr:uid="{00000000-0004-0000-0000-00001C000000}"/>
    <hyperlink ref="F40" r:id="rId30" xr:uid="{00000000-0004-0000-0000-00001D000000}"/>
    <hyperlink ref="G40" r:id="rId31" xr:uid="{00000000-0004-0000-0000-00001E000000}"/>
    <hyperlink ref="F41" r:id="rId32" xr:uid="{00000000-0004-0000-0000-00001F000000}"/>
    <hyperlink ref="G41" r:id="rId33" xr:uid="{00000000-0004-0000-0000-000020000000}"/>
    <hyperlink ref="F42" r:id="rId34" xr:uid="{00000000-0004-0000-0000-000021000000}"/>
    <hyperlink ref="G42" r:id="rId35" xr:uid="{00000000-0004-0000-0000-000022000000}"/>
    <hyperlink ref="F43" r:id="rId36" xr:uid="{00000000-0004-0000-0000-000023000000}"/>
    <hyperlink ref="G43" r:id="rId37" xr:uid="{00000000-0004-0000-0000-000024000000}"/>
    <hyperlink ref="F44" r:id="rId38" xr:uid="{00000000-0004-0000-0000-000025000000}"/>
    <hyperlink ref="F45" r:id="rId39" xr:uid="{00000000-0004-0000-0000-000026000000}"/>
    <hyperlink ref="G45" r:id="rId40" xr:uid="{00000000-0004-0000-0000-000027000000}"/>
    <hyperlink ref="F46" r:id="rId41" xr:uid="{00000000-0004-0000-0000-000028000000}"/>
    <hyperlink ref="G46" r:id="rId42" xr:uid="{00000000-0004-0000-0000-000029000000}"/>
    <hyperlink ref="G48" r:id="rId43" xr:uid="{00000000-0004-0000-0000-00002A000000}"/>
    <hyperlink ref="G49" r:id="rId44" xr:uid="{00000000-0004-0000-0000-00002B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selection activeCell="D76" sqref="D76"/>
    </sheetView>
  </sheetViews>
  <sheetFormatPr baseColWidth="10" defaultColWidth="11.5" defaultRowHeight="13" x14ac:dyDescent="0.15"/>
  <cols>
    <col min="2" max="2" width="44.33203125" customWidth="1"/>
    <col min="5" max="5" width="33.1640625" customWidth="1"/>
  </cols>
  <sheetData>
    <row r="1" spans="1:5" x14ac:dyDescent="0.15">
      <c r="A1" t="s">
        <v>86</v>
      </c>
      <c r="B1" t="s">
        <v>87</v>
      </c>
      <c r="C1" t="s">
        <v>3</v>
      </c>
      <c r="D1" t="s">
        <v>88</v>
      </c>
      <c r="E1" t="s">
        <v>8</v>
      </c>
    </row>
    <row r="3" spans="1:5" x14ac:dyDescent="0.15">
      <c r="A3" s="8">
        <v>1</v>
      </c>
      <c r="B3" t="s">
        <v>89</v>
      </c>
      <c r="C3" s="8">
        <v>2</v>
      </c>
      <c r="D3" t="s">
        <v>90</v>
      </c>
    </row>
    <row r="4" spans="1:5" x14ac:dyDescent="0.15">
      <c r="A4" s="8">
        <v>2</v>
      </c>
      <c r="B4" t="s">
        <v>91</v>
      </c>
      <c r="C4" s="8">
        <v>1</v>
      </c>
      <c r="D4" t="s">
        <v>90</v>
      </c>
    </row>
    <row r="5" spans="1:5" x14ac:dyDescent="0.15">
      <c r="A5" s="8">
        <v>3</v>
      </c>
      <c r="B5" t="s">
        <v>92</v>
      </c>
      <c r="C5" s="8">
        <v>1</v>
      </c>
      <c r="D5" t="s">
        <v>90</v>
      </c>
    </row>
    <row r="6" spans="1:5" x14ac:dyDescent="0.15">
      <c r="A6" s="8">
        <v>4</v>
      </c>
      <c r="B6" t="s">
        <v>93</v>
      </c>
      <c r="C6" s="8">
        <v>1</v>
      </c>
      <c r="D6" t="s">
        <v>90</v>
      </c>
    </row>
    <row r="7" spans="1:5" x14ac:dyDescent="0.15">
      <c r="A7" s="8">
        <v>5</v>
      </c>
      <c r="B7" t="s">
        <v>94</v>
      </c>
      <c r="C7" s="8">
        <v>1</v>
      </c>
      <c r="D7" t="s">
        <v>90</v>
      </c>
    </row>
    <row r="8" spans="1:5" x14ac:dyDescent="0.15">
      <c r="A8" s="8">
        <v>6</v>
      </c>
      <c r="B8" t="s">
        <v>95</v>
      </c>
      <c r="C8" s="8">
        <v>2</v>
      </c>
      <c r="D8" t="s">
        <v>96</v>
      </c>
    </row>
    <row r="9" spans="1:5" x14ac:dyDescent="0.15">
      <c r="A9" s="8">
        <v>7</v>
      </c>
      <c r="B9" t="s">
        <v>97</v>
      </c>
      <c r="C9" s="8">
        <v>1</v>
      </c>
      <c r="D9" t="s">
        <v>96</v>
      </c>
      <c r="E9" t="s">
        <v>98</v>
      </c>
    </row>
    <row r="10" spans="1:5" x14ac:dyDescent="0.15">
      <c r="A10" s="8">
        <v>8</v>
      </c>
      <c r="B10" t="s">
        <v>99</v>
      </c>
      <c r="C10" s="8">
        <v>1</v>
      </c>
      <c r="D10" t="s">
        <v>96</v>
      </c>
      <c r="E10" t="s">
        <v>98</v>
      </c>
    </row>
    <row r="11" spans="1:5" x14ac:dyDescent="0.15">
      <c r="A11" s="8">
        <v>9</v>
      </c>
      <c r="B11" t="s">
        <v>100</v>
      </c>
      <c r="C11" s="8">
        <v>2</v>
      </c>
      <c r="D11" t="s">
        <v>96</v>
      </c>
      <c r="E11" t="s">
        <v>98</v>
      </c>
    </row>
    <row r="12" spans="1:5" x14ac:dyDescent="0.15">
      <c r="A12" s="8">
        <v>10</v>
      </c>
      <c r="B12" t="s">
        <v>101</v>
      </c>
      <c r="C12" s="8">
        <v>1</v>
      </c>
      <c r="D12" t="s">
        <v>96</v>
      </c>
      <c r="E12" t="s">
        <v>102</v>
      </c>
    </row>
    <row r="13" spans="1:5" x14ac:dyDescent="0.15">
      <c r="A13" s="8">
        <v>11</v>
      </c>
      <c r="B13" t="s">
        <v>103</v>
      </c>
      <c r="C13" s="8">
        <v>1</v>
      </c>
      <c r="D13" t="s">
        <v>96</v>
      </c>
      <c r="E13" t="s">
        <v>102</v>
      </c>
    </row>
    <row r="14" spans="1:5" x14ac:dyDescent="0.15">
      <c r="A14" s="8">
        <v>12</v>
      </c>
      <c r="B14" t="s">
        <v>104</v>
      </c>
      <c r="C14" s="8">
        <v>1</v>
      </c>
      <c r="D14" t="s">
        <v>96</v>
      </c>
      <c r="E14" t="s">
        <v>102</v>
      </c>
    </row>
    <row r="15" spans="1:5" x14ac:dyDescent="0.15">
      <c r="A15" s="8">
        <v>13</v>
      </c>
      <c r="B15" t="s">
        <v>105</v>
      </c>
      <c r="C15" s="8">
        <v>2</v>
      </c>
      <c r="D15" t="s">
        <v>96</v>
      </c>
    </row>
    <row r="16" spans="1:5" x14ac:dyDescent="0.15">
      <c r="A16" s="8">
        <v>14</v>
      </c>
      <c r="B16" t="s">
        <v>106</v>
      </c>
      <c r="C16" s="8">
        <v>1</v>
      </c>
      <c r="D16" t="s">
        <v>96</v>
      </c>
    </row>
    <row r="17" spans="1:5" x14ac:dyDescent="0.15">
      <c r="A17" s="8">
        <v>15</v>
      </c>
      <c r="B17" t="s">
        <v>107</v>
      </c>
      <c r="C17" s="8">
        <v>1</v>
      </c>
      <c r="D17" t="s">
        <v>96</v>
      </c>
    </row>
    <row r="18" spans="1:5" x14ac:dyDescent="0.15">
      <c r="A18" s="8">
        <v>16</v>
      </c>
      <c r="B18" t="s">
        <v>108</v>
      </c>
      <c r="C18" s="8">
        <v>1</v>
      </c>
      <c r="D18" t="s">
        <v>96</v>
      </c>
    </row>
    <row r="19" spans="1:5" x14ac:dyDescent="0.15">
      <c r="A19" s="8">
        <v>17</v>
      </c>
      <c r="B19" t="s">
        <v>109</v>
      </c>
      <c r="C19" s="8">
        <v>2</v>
      </c>
      <c r="D19" t="s">
        <v>96</v>
      </c>
    </row>
    <row r="20" spans="1:5" x14ac:dyDescent="0.15">
      <c r="A20" s="8">
        <v>18</v>
      </c>
      <c r="B20" t="s">
        <v>110</v>
      </c>
      <c r="C20" s="8">
        <v>1</v>
      </c>
      <c r="D20" t="s">
        <v>96</v>
      </c>
    </row>
    <row r="21" spans="1:5" x14ac:dyDescent="0.15">
      <c r="A21" s="8">
        <v>19</v>
      </c>
      <c r="B21" t="s">
        <v>111</v>
      </c>
      <c r="C21" s="8">
        <v>2</v>
      </c>
      <c r="D21" t="s">
        <v>96</v>
      </c>
    </row>
    <row r="22" spans="1:5" x14ac:dyDescent="0.15">
      <c r="A22" s="8">
        <v>20</v>
      </c>
      <c r="B22" t="s">
        <v>112</v>
      </c>
      <c r="C22" s="8">
        <v>1</v>
      </c>
      <c r="D22" t="s">
        <v>96</v>
      </c>
    </row>
    <row r="23" spans="1:5" x14ac:dyDescent="0.15">
      <c r="A23" s="8">
        <v>21</v>
      </c>
      <c r="B23" t="s">
        <v>113</v>
      </c>
      <c r="C23" s="8">
        <v>1</v>
      </c>
      <c r="D23" t="s">
        <v>96</v>
      </c>
    </row>
    <row r="24" spans="1:5" x14ac:dyDescent="0.15">
      <c r="A24" s="8">
        <v>22</v>
      </c>
      <c r="B24" t="s">
        <v>114</v>
      </c>
      <c r="C24" s="8">
        <v>1</v>
      </c>
      <c r="D24" t="s">
        <v>96</v>
      </c>
      <c r="E24" t="s">
        <v>115</v>
      </c>
    </row>
    <row r="25" spans="1:5" x14ac:dyDescent="0.15">
      <c r="A25" s="8">
        <v>23</v>
      </c>
      <c r="B25" t="s">
        <v>116</v>
      </c>
      <c r="C25" s="8">
        <v>1</v>
      </c>
      <c r="D25" t="s">
        <v>96</v>
      </c>
      <c r="E25" t="s">
        <v>117</v>
      </c>
    </row>
    <row r="26" spans="1:5" x14ac:dyDescent="0.15">
      <c r="A26" s="8">
        <v>24</v>
      </c>
      <c r="B26" t="s">
        <v>118</v>
      </c>
      <c r="C26" s="8">
        <v>2</v>
      </c>
      <c r="D26" t="s">
        <v>96</v>
      </c>
    </row>
    <row r="27" spans="1:5" x14ac:dyDescent="0.15">
      <c r="A27" s="8"/>
    </row>
    <row r="28" spans="1:5" x14ac:dyDescent="0.15">
      <c r="B28" s="1" t="s">
        <v>119</v>
      </c>
      <c r="C28" s="9">
        <f>SUM(C3:C27)</f>
        <v>31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opLeftCell="A3" zoomScaleNormal="100" workbookViewId="0">
      <selection activeCell="A4" sqref="A4"/>
    </sheetView>
  </sheetViews>
  <sheetFormatPr baseColWidth="10" defaultColWidth="11.5" defaultRowHeight="13" x14ac:dyDescent="0.15"/>
  <sheetData>
    <row r="1" spans="1:1" x14ac:dyDescent="0.15">
      <c r="A1" t="s">
        <v>120</v>
      </c>
    </row>
    <row r="3" spans="1:1" x14ac:dyDescent="0.15">
      <c r="A3" t="s">
        <v>121</v>
      </c>
    </row>
    <row r="4" spans="1:1" x14ac:dyDescent="0.15">
      <c r="A4" t="s">
        <v>122</v>
      </c>
    </row>
    <row r="5" spans="1:1" x14ac:dyDescent="0.15">
      <c r="A5" t="s">
        <v>123</v>
      </c>
    </row>
    <row r="6" spans="1:1" x14ac:dyDescent="0.15">
      <c r="A6" t="s">
        <v>124</v>
      </c>
    </row>
    <row r="7" spans="1:1" x14ac:dyDescent="0.15">
      <c r="A7" t="s">
        <v>125</v>
      </c>
    </row>
    <row r="8" spans="1:1" x14ac:dyDescent="0.15">
      <c r="A8" t="s">
        <v>126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37286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3D Printed Parts</vt:lpstr>
      <vt:lpstr>Loom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Janez Urevc</cp:lastModifiedBy>
  <cp:revision>79</cp:revision>
  <dcterms:created xsi:type="dcterms:W3CDTF">2025-12-17T09:30:47Z</dcterms:created>
  <dcterms:modified xsi:type="dcterms:W3CDTF">2026-02-28T15:15:55Z</dcterms:modified>
  <dc:language>en-GB</dc:language>
</cp:coreProperties>
</file>